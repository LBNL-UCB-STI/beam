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itamlaarabi/Workspace/Models/beam/freight-develop/src/main/python/av_energy/scenarios/"/>
    </mc:Choice>
  </mc:AlternateContent>
  <xr:revisionPtr revIDLastSave="0" documentId="8_{EA145113-6255-5841-822E-A9FCB33E372B}" xr6:coauthVersionLast="47" xr6:coauthVersionMax="47" xr10:uidLastSave="{00000000-0000-0000-0000-000000000000}"/>
  <bookViews>
    <workbookView xWindow="1100" yWindow="820" windowWidth="28040" windowHeight="17440" xr2:uid="{AA04B16E-9AEE-2A45-AF09-5118A5DC29DB}"/>
  </bookViews>
  <sheets>
    <sheet name="robotaxi_2025_bas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7" i="1" s="1"/>
  <c r="B30" i="1"/>
  <c r="B31" i="1"/>
  <c r="B33" i="1" s="1"/>
  <c r="B35" i="1" s="1"/>
  <c r="B27" i="1"/>
  <c r="H3" i="1"/>
  <c r="H4" i="1"/>
  <c r="H5" i="1"/>
  <c r="H6" i="1"/>
  <c r="H7" i="1"/>
  <c r="H8" i="1"/>
  <c r="H9" i="1"/>
  <c r="H10" i="1"/>
  <c r="H11" i="1"/>
  <c r="H12" i="1"/>
  <c r="H13" i="1"/>
  <c r="H15" i="1"/>
  <c r="H16" i="1"/>
  <c r="H2" i="1"/>
  <c r="B20" i="1"/>
  <c r="B19" i="1"/>
  <c r="B21" i="1" s="1"/>
  <c r="B23" i="1" s="1"/>
  <c r="B32" i="1" l="1"/>
  <c r="B34" i="1" s="1"/>
  <c r="B25" i="1"/>
  <c r="B24" i="1"/>
  <c r="B28" i="1"/>
  <c r="B22" i="1"/>
  <c r="B29" i="1" s="1"/>
</calcChain>
</file>

<file path=xl/sharedStrings.xml><?xml version="1.0" encoding="utf-8"?>
<sst xmlns="http://schemas.openxmlformats.org/spreadsheetml/2006/main" count="124" uniqueCount="121">
  <si>
    <t>Company</t>
  </si>
  <si>
    <t>Fleet Size (2025)</t>
  </si>
  <si>
    <t>Total Miles Traveled (2025)</t>
  </si>
  <si>
    <t>Operation Duration (Months)</t>
  </si>
  <si>
    <t>Compute Energy (Watts)</t>
  </si>
  <si>
    <t>Hardware/Chip Type</t>
  </si>
  <si>
    <t>Projected Miles (2030)</t>
  </si>
  <si>
    <t>Sources</t>
  </si>
  <si>
    <t>Waymo</t>
  </si>
  <si>
    <t>Data not available</t>
  </si>
  <si>
    <t>Server-grade CPUs/GPUs, 6th-gen Waymo Driver (13 cameras, 4 LiDAR, 6 radar)</t>
  </si>
  <si>
    <t>https://waymo.com/blog/2025/05/scaling-our-fleet-through-us-manufacturing, https://waymo.com/blog/2024/08/meet-the-6th-generation-waymo-driver</t>
  </si>
  <si>
    <t>Tesla Robotaxis</t>
  </si>
  <si>
    <t>20 (Austin pilot)</t>
  </si>
  <si>
    <t>HW4: 160W; AI5: 800W</t>
  </si>
  <si>
    <t>Tesla HW4/AI4 custom (Samsung, 500 TOPS)</t>
  </si>
  <si>
    <t>100K-1M (Musk projection)</t>
  </si>
  <si>
    <t>https://techcrunch.com/2025/06/22/tesla-launches-robotaxi-rides-in-austin-with-big-promises-and-unanswered-questions/, https://www.cnbc.com/2025/06/03/tesla-robotaxi-launch-in-austin-has-musk-playing-catch-up-in-hometown.html</t>
  </si>
  <si>
    <t>Zoox</t>
  </si>
  <si>
    <t>~24 purpose-built + test fleet</t>
  </si>
  <si>
    <t>4x Intel Xeon CPUs + onboard GPUs</t>
  </si>
  <si>
    <t>10K/year capacity</t>
  </si>
  <si>
    <t>https://techcrunch.com/2025/06/18/amazons-zoox-opens-its-first-major-robotaxi-production-facility/, https://www.reuters.com/business/autos-transportation/zoox-launches-its-first-robotaxi-production-facility-taking-tesla-waymo-2025-06-18/</t>
  </si>
  <si>
    <t>Aurora Trucks</t>
  </si>
  <si>
    <t>2 driverless + 30+ supervised</t>
  </si>
  <si>
    <t>3M+ supervised miles; 1,200+ driverless</t>
  </si>
  <si>
    <t>Dual NVIDIA DRIVE Thor SoC</t>
  </si>
  <si>
    <t>Thousands planned</t>
  </si>
  <si>
    <t>https://ir.aurora.tech/news-events/press-releases/detail/119/aurora-begins-commercial-driverless-trucking-in-texas, https://techcrunch.com/2025/05/01/aurora-launches-commercial-self-driving-truck-service-in-texas/</t>
  </si>
  <si>
    <t>Kodiak Trucks</t>
  </si>
  <si>
    <t>4 operational + 100 ordered</t>
  </si>
  <si>
    <t>2.5+ million miles</t>
  </si>
  <si>
    <t>NVIDIA GPUs ‚Üí Ambarella CV3-AD SoC</t>
  </si>
  <si>
    <t>https://kodiak.ai/news/kodiak-delivers-two-additional-driverless-trucks, https://www.freightwaves.com/news/kodiak-robotics-autonomous-trucks-texas</t>
  </si>
  <si>
    <t>Gatik Trucks</t>
  </si>
  <si>
    <t>60+ trucks</t>
  </si>
  <si>
    <t>600K+ deliveries</t>
  </si>
  <si>
    <t>NVIDIA DRIVE AGX + Thor (1,000+ TOPS)</t>
  </si>
  <si>
    <t>50K capacity by 2030</t>
  </si>
  <si>
    <t>https://gatik.ai/news/blog/gatik-isuzu-mass-production-powered-by-nvidia/, https://www.foxbusiness.com/technology/self-driving-truck-company-expand-operations-combatting-nationwide-trucking-shortage</t>
  </si>
  <si>
    <t>Nuro Delivery</t>
  </si>
  <si>
    <t>100 retrofitted + dozen R3</t>
  </si>
  <si>
    <t>1.4+ million miles</t>
  </si>
  <si>
    <t>NVIDIA DRIVE Thor (1,000 TOPS)</t>
  </si>
  <si>
    <t>20K+ (Uber partnership)</t>
  </si>
  <si>
    <t>https://techcrunch.com/2024/07/27/autonomous-delivery-startup-nuro-is-gearing-up-for-a-comeback/, https://www.bloomberg.com/news/articles/2025-07-17/uber-partnering-with-lucid-nuro-to-launch-robotaxis-in-2026</t>
  </si>
  <si>
    <t>Pony.ai</t>
  </si>
  <si>
    <t>300 ‚Üí 1,000 by end 2025</t>
  </si>
  <si>
    <t>28+ million miles</t>
  </si>
  <si>
    <t>NVIDIA DRIVE Orin (1,016 TOPS)</t>
  </si>
  <si>
    <t>10K+ long-term</t>
  </si>
  <si>
    <t>https://www.chinadaily.com.cn/a/202501/16/WS678864cea310f1265a1db2e7.html, https://www.investing.com/news/company-news/ponyai-autonomous-driving-controller-reaches-2-million-km-milestone-93CH-4145721</t>
  </si>
  <si>
    <t>Hyundai-Avride</t>
  </si>
  <si>
    <t>~12 ‚Üí 100 planned</t>
  </si>
  <si>
    <t>https://www.iotworldtoday.com/transportation-logistics/hyundai-avride-to-develop-self-driving-taxis, https://medium.com/avride/avride-and-hyundai-motor-company-announce-strategic-alliance-to-accelerate-autonomous-mobility-452506a148dc</t>
  </si>
  <si>
    <t>Waabi Trucks</t>
  </si>
  <si>
    <t>Small testing fleet</t>
  </si>
  <si>
    <t>NVIDIA DRIVE Thor Blackwell (1,000 TOPS)</t>
  </si>
  <si>
    <t>Volume scale 2027-2028</t>
  </si>
  <si>
    <t>Billions planned</t>
  </si>
  <si>
    <t>https://techcrunch.com/2025/02/04/waabi-and-volvo-team-up-to-build-self-driving-trucks-at-scale/, https://waabi.ai/nvidia-drivethor/</t>
  </si>
  <si>
    <t>Torc Trucks</t>
  </si>
  <si>
    <t>Handful of test vehicles</t>
  </si>
  <si>
    <t>Commercial scale 2027</t>
  </si>
  <si>
    <t>https://www.forbes.com/sites/richardbishop1/2024/11/20/torc-begins-testing-of-production-intent-driverless-trucks-in-texas/, https://www.fleetowner.com/technology/article/55290644/torc-robotics-daimler-trucks-launch-first-autonomous-trucking-hub</t>
  </si>
  <si>
    <t>Einride Trucks</t>
  </si>
  <si>
    <t>5.2M data points/sec processing</t>
  </si>
  <si>
    <t>2200 UAE project</t>
  </si>
  <si>
    <t>https://electrek.co/2024/12/18/einride-deploys-first-daily-operations-autonomous-trucks-europe/, https://www.thedailyupside.com/industries/autos/driverless-trucking-startup-einride-may-be-planning-a-5-billion-us-ipo/</t>
  </si>
  <si>
    <t>Baidu Apollo</t>
  </si>
  <si>
    <t>100+ million miles</t>
  </si>
  <si>
    <t>Apollo ADFM, custom platforms</t>
  </si>
  <si>
    <t>International expansion</t>
  </si>
  <si>
    <t>https://cnevpost.com/2024/05/15/baidu-apollo-launches-6th-gen-robotaxi/, https://www.theregister.com/2024/05/17/apollo_go_profitable/</t>
  </si>
  <si>
    <t>WeRide</t>
  </si>
  <si>
    <t>1,200+ vehicles</t>
  </si>
  <si>
    <t>40+ million km</t>
  </si>
  <si>
    <t>HPC 3.0 dual NVIDIA Thor (2,000 TOPS)</t>
  </si>
  <si>
    <t>15+ cities expansion</t>
  </si>
  <si>
    <t>https://ir.weride.ai/news-releases/news-release-details/weride-announces-plan-expand-commercial-robotaxi-services-15, https://www.ainvest.com/news/weride-hpc-3-0-platform-implications-autonomous-driving-commercialization-2507/</t>
  </si>
  <si>
    <t>AutoX</t>
  </si>
  <si>
    <t>NVIDIA DRIVE dual Ampere (1,800 TOPS)</t>
  </si>
  <si>
    <t>Thousands globally</t>
  </si>
  <si>
    <t>https://blogs.nvidia.com/blog/autox-full-self-driving-nvidia-drive/, https://www.robotreport.com/autox-fully-driverless-robotaxi-china/</t>
  </si>
  <si>
    <t>Mobileye</t>
  </si>
  <si>
    <t>1+ billion km total</t>
  </si>
  <si>
    <t>EyeQ SoCs, EyeQ Ultra (176 TOPS, &lt;100W)</t>
  </si>
  <si>
    <t>1.2M SuperVision 2026</t>
  </si>
  <si>
    <t>https://www.mobileye.com/news/mobileye-growth-pipeline-fueled-with-supervision-and-future-av-wins/, https://www.intc.com/news-events/press-releases/detail/1514/new-mobileye-eyeq-ultra-will-enable-consumer-avs</t>
  </si>
  <si>
    <t>1,000+ vehicles (44 vehicles registered in california)</t>
  </si>
  <si>
    <t>Limited test fleets (fleet not disclosed)</t>
  </si>
  <si>
    <t>1000+ vehicles (not yet in the US)</t>
  </si>
  <si>
    <t>Commercial operations + 100 Dubai (1 in Tenesse)</t>
  </si>
  <si>
    <t>trucks total</t>
  </si>
  <si>
    <t>cars total</t>
  </si>
  <si>
    <t>trucks %</t>
  </si>
  <si>
    <t>Cars %</t>
  </si>
  <si>
    <t>Total Miles Traveled Desc (2025)</t>
  </si>
  <si>
    <t>Fleet Size Desc (2025)</t>
  </si>
  <si>
    <t>Miles per Fleet</t>
  </si>
  <si>
    <t>Projected Fleet Desc (2030)</t>
  </si>
  <si>
    <t>another 2000 by 2026</t>
  </si>
  <si>
    <t>sources</t>
  </si>
  <si>
    <t>https://waymo.com/blog/2025/05/scaling-our-fleet-through-us-manufacturing</t>
  </si>
  <si>
    <t>Waymo / Car %</t>
  </si>
  <si>
    <t>Waymo / AV %</t>
  </si>
  <si>
    <t>Waymo 2030 estimate</t>
  </si>
  <si>
    <t>Total AV 2030 estimate</t>
  </si>
  <si>
    <t>Total Trucks 2030 estimate</t>
  </si>
  <si>
    <t>100 million autonomous miles
https://www.therobotreport.com/waymo-reaches-100m-fully-autonomous-miles-across-all-deployments/
2 million fully autonomous miles per week
https://waymo.com/blog/2020/04/off-road-but-not-offline--simulation27
20 million miles a day</t>
  </si>
  <si>
    <t>Miles Traveled Per Day</t>
  </si>
  <si>
    <t>Miles Simulated Per Day</t>
  </si>
  <si>
    <t>Total 2025</t>
  </si>
  <si>
    <t>Miles simulated per Waymo Car Per day</t>
  </si>
  <si>
    <t>Miles driven per Waymo car Per day</t>
  </si>
  <si>
    <t>Miles driven per AVs per day</t>
  </si>
  <si>
    <t>Miles simulated by Avs per day</t>
  </si>
  <si>
    <t>Miles driven per AVs Annually in 2025</t>
  </si>
  <si>
    <t>Miles simulated by Avs Annually in 2025</t>
  </si>
  <si>
    <t>Miles driven per AVs Annually in 2030</t>
  </si>
  <si>
    <t>Miles simulated by Avs Annually in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</si>
</sst>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,,&quot;M&quot;"/>
    <numFmt numFmtId="165" formatCode="#.00,,,&quot;B&quot;"/>
    <numFmt numFmtId="166" formatCode="#.00,,,,&quot;T&quot;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9" fontId="0" fillId="0" borderId="0" xfId="1" applyFont="1"/>
    <xf numFmtId="0" fontId="18" fillId="0" borderId="0" xfId="43"/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0" fillId="33" borderId="0" xfId="0" applyFill="1"/>
    <xf numFmtId="1" fontId="0" fillId="33" borderId="0" xfId="0" applyNumberFormat="1" applyFill="1"/>
    <xf numFmtId="165" fontId="0" fillId="0" borderId="0" xfId="0" applyNumberFormat="1"/>
    <xf numFmtId="166" fontId="0" fillId="0" borderId="0" xfId="0" applyNumberForma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ymo.com/blog/2025/05/scaling-our-fleet-through-us-manufactu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164D-2282-194A-9A88-8ACA14A35BFA}">
  <dimension ref="A1:P38"/>
  <sheetViews>
    <sheetView tabSelected="1" topLeftCell="A8" workbookViewId="0">
      <selection activeCell="C40" sqref="C40"/>
    </sheetView>
  </sheetViews>
  <sheetFormatPr baseColWidth="10" defaultRowHeight="16" x14ac:dyDescent="0.2"/>
  <cols>
    <col min="1" max="1" width="34.5" customWidth="1"/>
    <col min="2" max="2" width="24.5" customWidth="1"/>
    <col min="3" max="3" width="47" customWidth="1"/>
    <col min="4" max="6" width="25" customWidth="1"/>
    <col min="7" max="7" width="27.83203125" customWidth="1"/>
    <col min="8" max="8" width="21.1640625" customWidth="1"/>
    <col min="9" max="9" width="27.33203125" customWidth="1"/>
    <col min="10" max="10" width="25.83203125" customWidth="1"/>
    <col min="11" max="11" width="41.6640625" customWidth="1"/>
    <col min="12" max="12" width="29.83203125" customWidth="1"/>
    <col min="13" max="13" width="28.5" customWidth="1"/>
    <col min="14" max="14" width="32.83203125" customWidth="1"/>
    <col min="15" max="15" width="10.83203125" customWidth="1"/>
  </cols>
  <sheetData>
    <row r="1" spans="1:16" x14ac:dyDescent="0.2">
      <c r="A1" t="s">
        <v>0</v>
      </c>
      <c r="B1" t="s">
        <v>1</v>
      </c>
      <c r="C1" t="s">
        <v>98</v>
      </c>
      <c r="D1" t="s">
        <v>2</v>
      </c>
      <c r="E1" t="s">
        <v>110</v>
      </c>
      <c r="F1" t="s">
        <v>111</v>
      </c>
      <c r="G1" t="s">
        <v>97</v>
      </c>
      <c r="H1" t="s">
        <v>99</v>
      </c>
      <c r="I1" t="s">
        <v>3</v>
      </c>
      <c r="J1" t="s">
        <v>4</v>
      </c>
      <c r="K1" t="s">
        <v>5</v>
      </c>
      <c r="L1" t="s">
        <v>100</v>
      </c>
      <c r="M1" t="s">
        <v>100</v>
      </c>
      <c r="N1" t="s">
        <v>6</v>
      </c>
      <c r="O1" t="s">
        <v>7</v>
      </c>
      <c r="P1" t="s">
        <v>102</v>
      </c>
    </row>
    <row r="2" spans="1:16" ht="255" x14ac:dyDescent="0.2">
      <c r="A2" t="s">
        <v>8</v>
      </c>
      <c r="B2">
        <v>1500</v>
      </c>
      <c r="C2">
        <v>1500</v>
      </c>
      <c r="D2">
        <v>33000000</v>
      </c>
      <c r="E2">
        <v>285714</v>
      </c>
      <c r="F2">
        <v>20000000</v>
      </c>
      <c r="G2" s="4" t="s">
        <v>109</v>
      </c>
      <c r="H2">
        <f>D2/B2</f>
        <v>22000</v>
      </c>
      <c r="I2">
        <v>192</v>
      </c>
      <c r="J2" t="s">
        <v>9</v>
      </c>
      <c r="K2" t="s">
        <v>10</v>
      </c>
      <c r="L2">
        <v>8000</v>
      </c>
      <c r="M2" t="s">
        <v>101</v>
      </c>
      <c r="O2" t="s">
        <v>11</v>
      </c>
      <c r="P2" s="2" t="s">
        <v>103</v>
      </c>
    </row>
    <row r="3" spans="1:16" x14ac:dyDescent="0.2">
      <c r="A3" t="s">
        <v>12</v>
      </c>
      <c r="B3">
        <v>20</v>
      </c>
      <c r="C3" t="s">
        <v>13</v>
      </c>
      <c r="H3">
        <f>D3/B3</f>
        <v>0</v>
      </c>
      <c r="I3">
        <v>73</v>
      </c>
      <c r="J3" t="s">
        <v>14</v>
      </c>
      <c r="K3" t="s">
        <v>15</v>
      </c>
      <c r="M3" t="s">
        <v>16</v>
      </c>
      <c r="O3" t="s">
        <v>17</v>
      </c>
    </row>
    <row r="4" spans="1:16" x14ac:dyDescent="0.2">
      <c r="A4" t="s">
        <v>18</v>
      </c>
      <c r="B4">
        <v>24</v>
      </c>
      <c r="C4" t="s">
        <v>19</v>
      </c>
      <c r="H4">
        <f>D4/B4</f>
        <v>0</v>
      </c>
      <c r="I4">
        <v>120</v>
      </c>
      <c r="K4" t="s">
        <v>20</v>
      </c>
      <c r="M4" t="s">
        <v>21</v>
      </c>
      <c r="O4" t="s">
        <v>22</v>
      </c>
    </row>
    <row r="5" spans="1:16" x14ac:dyDescent="0.2">
      <c r="A5" t="s">
        <v>23</v>
      </c>
      <c r="B5">
        <v>32</v>
      </c>
      <c r="C5" t="s">
        <v>24</v>
      </c>
      <c r="D5">
        <v>3001200</v>
      </c>
      <c r="G5" t="s">
        <v>25</v>
      </c>
      <c r="H5">
        <f>D5/B5</f>
        <v>93787.5</v>
      </c>
      <c r="I5">
        <v>96</v>
      </c>
      <c r="K5" t="s">
        <v>26</v>
      </c>
      <c r="M5" t="s">
        <v>27</v>
      </c>
      <c r="O5" t="s">
        <v>28</v>
      </c>
    </row>
    <row r="6" spans="1:16" x14ac:dyDescent="0.2">
      <c r="A6" t="s">
        <v>29</v>
      </c>
      <c r="B6">
        <v>104</v>
      </c>
      <c r="C6" t="s">
        <v>30</v>
      </c>
      <c r="D6">
        <v>2500000</v>
      </c>
      <c r="G6" t="s">
        <v>31</v>
      </c>
      <c r="H6">
        <f>D6/B6</f>
        <v>24038.461538461539</v>
      </c>
      <c r="I6">
        <v>84</v>
      </c>
      <c r="K6" t="s">
        <v>32</v>
      </c>
      <c r="O6" t="s">
        <v>33</v>
      </c>
    </row>
    <row r="7" spans="1:16" x14ac:dyDescent="0.2">
      <c r="A7" t="s">
        <v>34</v>
      </c>
      <c r="B7">
        <v>60</v>
      </c>
      <c r="C7" t="s">
        <v>35</v>
      </c>
      <c r="D7">
        <v>600000</v>
      </c>
      <c r="G7" t="s">
        <v>36</v>
      </c>
      <c r="H7">
        <f>D7/B7</f>
        <v>10000</v>
      </c>
      <c r="I7">
        <v>96</v>
      </c>
      <c r="K7" t="s">
        <v>37</v>
      </c>
      <c r="M7" t="s">
        <v>38</v>
      </c>
      <c r="O7" t="s">
        <v>39</v>
      </c>
    </row>
    <row r="8" spans="1:16" x14ac:dyDescent="0.2">
      <c r="A8" t="s">
        <v>40</v>
      </c>
      <c r="B8">
        <v>112</v>
      </c>
      <c r="C8" t="s">
        <v>41</v>
      </c>
      <c r="D8">
        <v>1400000</v>
      </c>
      <c r="G8" t="s">
        <v>42</v>
      </c>
      <c r="H8">
        <f>D8/B8</f>
        <v>12500</v>
      </c>
      <c r="I8">
        <v>108</v>
      </c>
      <c r="K8" t="s">
        <v>43</v>
      </c>
      <c r="L8">
        <v>20000</v>
      </c>
      <c r="M8" t="s">
        <v>44</v>
      </c>
      <c r="O8" t="s">
        <v>45</v>
      </c>
    </row>
    <row r="9" spans="1:16" x14ac:dyDescent="0.2">
      <c r="A9" t="s">
        <v>46</v>
      </c>
      <c r="B9">
        <v>1000</v>
      </c>
      <c r="C9" t="s">
        <v>47</v>
      </c>
      <c r="D9">
        <v>28000000</v>
      </c>
      <c r="G9" t="s">
        <v>48</v>
      </c>
      <c r="H9">
        <f>D9/B9</f>
        <v>28000</v>
      </c>
      <c r="I9">
        <v>108</v>
      </c>
      <c r="K9" t="s">
        <v>49</v>
      </c>
      <c r="L9">
        <v>10000</v>
      </c>
      <c r="M9" t="s">
        <v>50</v>
      </c>
      <c r="O9" t="s">
        <v>51</v>
      </c>
    </row>
    <row r="10" spans="1:16" x14ac:dyDescent="0.2">
      <c r="A10" t="s">
        <v>52</v>
      </c>
      <c r="B10">
        <v>112</v>
      </c>
      <c r="C10" t="s">
        <v>53</v>
      </c>
      <c r="H10">
        <f>D10/B10</f>
        <v>0</v>
      </c>
      <c r="I10">
        <v>96</v>
      </c>
      <c r="K10" t="s">
        <v>9</v>
      </c>
      <c r="O10" t="s">
        <v>54</v>
      </c>
    </row>
    <row r="11" spans="1:16" x14ac:dyDescent="0.2">
      <c r="A11" t="s">
        <v>55</v>
      </c>
      <c r="B11">
        <v>5</v>
      </c>
      <c r="C11" t="s">
        <v>56</v>
      </c>
      <c r="H11">
        <f>D11/B11</f>
        <v>0</v>
      </c>
      <c r="I11">
        <v>48</v>
      </c>
      <c r="K11" t="s">
        <v>57</v>
      </c>
      <c r="M11" t="s">
        <v>58</v>
      </c>
      <c r="N11" t="s">
        <v>59</v>
      </c>
      <c r="O11" t="s">
        <v>60</v>
      </c>
    </row>
    <row r="12" spans="1:16" x14ac:dyDescent="0.2">
      <c r="A12" t="s">
        <v>61</v>
      </c>
      <c r="B12">
        <v>5</v>
      </c>
      <c r="C12" t="s">
        <v>62</v>
      </c>
      <c r="H12">
        <f>D12/B12</f>
        <v>0</v>
      </c>
      <c r="I12">
        <v>240</v>
      </c>
      <c r="K12" t="s">
        <v>9</v>
      </c>
      <c r="M12" t="s">
        <v>63</v>
      </c>
      <c r="O12" t="s">
        <v>64</v>
      </c>
    </row>
    <row r="13" spans="1:16" x14ac:dyDescent="0.2">
      <c r="A13" t="s">
        <v>65</v>
      </c>
      <c r="B13">
        <v>1</v>
      </c>
      <c r="C13" t="s">
        <v>92</v>
      </c>
      <c r="H13">
        <f>D13/B13</f>
        <v>0</v>
      </c>
      <c r="I13">
        <v>108</v>
      </c>
      <c r="K13" t="s">
        <v>66</v>
      </c>
      <c r="M13" t="s">
        <v>67</v>
      </c>
      <c r="O13" t="s">
        <v>68</v>
      </c>
    </row>
    <row r="14" spans="1:16" x14ac:dyDescent="0.2">
      <c r="A14" t="s">
        <v>69</v>
      </c>
      <c r="C14" t="s">
        <v>91</v>
      </c>
      <c r="D14">
        <v>100000000</v>
      </c>
      <c r="G14" t="s">
        <v>70</v>
      </c>
      <c r="I14">
        <v>72</v>
      </c>
      <c r="K14" t="s">
        <v>71</v>
      </c>
      <c r="M14" t="s">
        <v>72</v>
      </c>
      <c r="O14" t="s">
        <v>73</v>
      </c>
    </row>
    <row r="15" spans="1:16" x14ac:dyDescent="0.2">
      <c r="A15" t="s">
        <v>74</v>
      </c>
      <c r="B15">
        <v>12</v>
      </c>
      <c r="C15" t="s">
        <v>75</v>
      </c>
      <c r="D15">
        <v>24854800</v>
      </c>
      <c r="G15" t="s">
        <v>76</v>
      </c>
      <c r="H15">
        <f>D15/B15</f>
        <v>2071233.3333333333</v>
      </c>
      <c r="I15">
        <v>72</v>
      </c>
      <c r="K15" t="s">
        <v>77</v>
      </c>
      <c r="M15" t="s">
        <v>78</v>
      </c>
      <c r="O15" t="s">
        <v>79</v>
      </c>
    </row>
    <row r="16" spans="1:16" x14ac:dyDescent="0.2">
      <c r="A16" t="s">
        <v>80</v>
      </c>
      <c r="B16">
        <v>44</v>
      </c>
      <c r="C16" t="s">
        <v>89</v>
      </c>
      <c r="H16">
        <f>D16/B16</f>
        <v>0</v>
      </c>
      <c r="I16">
        <v>108</v>
      </c>
      <c r="K16" t="s">
        <v>81</v>
      </c>
      <c r="M16" t="s">
        <v>82</v>
      </c>
      <c r="O16" t="s">
        <v>83</v>
      </c>
    </row>
    <row r="17" spans="1:15" x14ac:dyDescent="0.2">
      <c r="A17" t="s">
        <v>84</v>
      </c>
      <c r="C17" t="s">
        <v>90</v>
      </c>
      <c r="D17">
        <v>621371000</v>
      </c>
      <c r="G17" t="s">
        <v>85</v>
      </c>
      <c r="I17">
        <v>312</v>
      </c>
      <c r="K17" t="s">
        <v>86</v>
      </c>
      <c r="M17" t="s">
        <v>87</v>
      </c>
      <c r="O17" t="s">
        <v>88</v>
      </c>
    </row>
    <row r="19" spans="1:15" x14ac:dyDescent="0.2">
      <c r="A19" t="s">
        <v>112</v>
      </c>
      <c r="B19">
        <f>SUM(B2:B17)</f>
        <v>3031</v>
      </c>
    </row>
    <row r="20" spans="1:15" x14ac:dyDescent="0.2">
      <c r="A20" t="s">
        <v>93</v>
      </c>
      <c r="B20">
        <f>B5+B6+B7+B11+B12+B13</f>
        <v>207</v>
      </c>
    </row>
    <row r="21" spans="1:15" x14ac:dyDescent="0.2">
      <c r="A21" t="s">
        <v>94</v>
      </c>
      <c r="B21">
        <f>B19-B20</f>
        <v>2824</v>
      </c>
    </row>
    <row r="22" spans="1:15" x14ac:dyDescent="0.2">
      <c r="A22" t="s">
        <v>95</v>
      </c>
      <c r="B22" s="1">
        <f>B20/B19</f>
        <v>6.8294292312768068E-2</v>
      </c>
    </row>
    <row r="23" spans="1:15" x14ac:dyDescent="0.2">
      <c r="A23" t="s">
        <v>96</v>
      </c>
      <c r="B23" s="1">
        <f>B21/B19</f>
        <v>0.93170570768723193</v>
      </c>
    </row>
    <row r="24" spans="1:15" x14ac:dyDescent="0.2">
      <c r="A24" t="s">
        <v>104</v>
      </c>
      <c r="B24" s="1">
        <f>B2/B21</f>
        <v>0.53116147308781869</v>
      </c>
    </row>
    <row r="25" spans="1:15" x14ac:dyDescent="0.2">
      <c r="A25" t="s">
        <v>105</v>
      </c>
      <c r="B25" s="1">
        <f>B2/B19</f>
        <v>0.49488617617947872</v>
      </c>
    </row>
    <row r="26" spans="1:15" x14ac:dyDescent="0.2">
      <c r="B26" s="1"/>
    </row>
    <row r="27" spans="1:15" x14ac:dyDescent="0.2">
      <c r="A27" t="s">
        <v>106</v>
      </c>
      <c r="B27">
        <f>B2+L2</f>
        <v>9500</v>
      </c>
    </row>
    <row r="28" spans="1:15" x14ac:dyDescent="0.2">
      <c r="A28" t="s">
        <v>107</v>
      </c>
      <c r="B28" s="3">
        <f>B27/B25</f>
        <v>19196.333333333332</v>
      </c>
    </row>
    <row r="29" spans="1:15" x14ac:dyDescent="0.2">
      <c r="A29" t="s">
        <v>108</v>
      </c>
      <c r="B29">
        <f>B22*B28</f>
        <v>1311</v>
      </c>
    </row>
    <row r="30" spans="1:15" x14ac:dyDescent="0.2">
      <c r="A30" t="s">
        <v>114</v>
      </c>
      <c r="B30" s="3">
        <f>E2/B2</f>
        <v>190.476</v>
      </c>
    </row>
    <row r="31" spans="1:15" x14ac:dyDescent="0.2">
      <c r="A31" t="s">
        <v>113</v>
      </c>
      <c r="B31" s="3">
        <f>F2/B2</f>
        <v>13333.333333333334</v>
      </c>
    </row>
    <row r="32" spans="1:15" s="6" customFormat="1" x14ac:dyDescent="0.2">
      <c r="A32" s="6" t="s">
        <v>115</v>
      </c>
      <c r="B32" s="7">
        <f>B19*B30</f>
        <v>577332.75600000005</v>
      </c>
    </row>
    <row r="33" spans="1:2" s="6" customFormat="1" x14ac:dyDescent="0.2">
      <c r="A33" s="6" t="s">
        <v>116</v>
      </c>
      <c r="B33" s="7">
        <f>B31*B19</f>
        <v>40413333.333333336</v>
      </c>
    </row>
    <row r="34" spans="1:2" x14ac:dyDescent="0.2">
      <c r="A34" t="s">
        <v>117</v>
      </c>
      <c r="B34" s="5">
        <f>B32*356</f>
        <v>205530461.13600001</v>
      </c>
    </row>
    <row r="35" spans="1:2" x14ac:dyDescent="0.2">
      <c r="A35" t="s">
        <v>118</v>
      </c>
      <c r="B35" s="8">
        <f>B33*356</f>
        <v>14387146666.666668</v>
      </c>
    </row>
    <row r="36" spans="1:2" x14ac:dyDescent="0.2">
      <c r="A36" t="s">
        <v>119</v>
      </c>
      <c r="B36" s="8">
        <f>B32*B28</f>
        <v>11082672028.427999</v>
      </c>
    </row>
    <row r="37" spans="1:2" x14ac:dyDescent="0.2">
      <c r="A37" t="s">
        <v>120</v>
      </c>
      <c r="B37" s="9">
        <f>B36*B28</f>
        <v>212746666481713.34</v>
      </c>
    </row>
    <row r="38" spans="1:2" x14ac:dyDescent="0.2">
      <c r="B38" s="5"/>
    </row>
  </sheetData>
  <hyperlinks>
    <hyperlink ref="P2" r:id="rId1" xr:uid="{9A3C5286-02CD-044F-9342-E892935C8E1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robotaxi_2025_baseline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Haitam Laarabi</dc:creator>
  <cp:lastModifiedBy>Haitam Laarabi</cp:lastModifiedBy>
  <dcterms:created xsi:type="dcterms:W3CDTF">2025-08-01T00:44:03Z</dcterms:created>
  <dcterms:modified xsi:type="dcterms:W3CDTF">2025-08-01T00:44:03Z</dcterms:modified>
</cp:coreProperties>
</file>